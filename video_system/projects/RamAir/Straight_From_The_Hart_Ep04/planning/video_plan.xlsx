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Baker\Documents\Codex\video_system\projects\RamAir\Straight_From_The_Hart_Ep04\planning\"/>
    </mc:Choice>
  </mc:AlternateContent>
  <xr:revisionPtr revIDLastSave="0" documentId="13_ncr:1_{499A4FA4-C196-401B-B41C-335AAEE6A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es" sheetId="1" r:id="rId1"/>
    <sheet name="Broll" sheetId="2" r:id="rId2"/>
    <sheet name="Graphics" sheetId="4" r:id="rId3"/>
    <sheet name="Audio" sheetId="3" r:id="rId4"/>
    <sheet name="Assets" sheetId="5" r:id="rId5"/>
    <sheet name="Settings" sheetId="6" r:id="rId6"/>
    <sheet name="Instructions" sheetId="7" r:id="rId7"/>
  </sheets>
  <definedNames>
    <definedName name="_xlnm._FilterDatabase" localSheetId="3" hidden="1">Audio!$A$1:$L$3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E7" i="1" s="1"/>
  <c r="D8" i="1"/>
  <c r="E8" i="1" s="1"/>
  <c r="D9" i="1"/>
  <c r="D10" i="1"/>
  <c r="D11" i="1"/>
  <c r="D12" i="1"/>
  <c r="D13" i="1"/>
  <c r="D14" i="1"/>
  <c r="D15" i="1"/>
  <c r="D16" i="1"/>
  <c r="D17" i="1"/>
  <c r="E17" i="1" s="1"/>
  <c r="D18" i="1"/>
  <c r="E18" i="1" s="1"/>
  <c r="D19" i="1"/>
  <c r="D20" i="1"/>
  <c r="D21" i="1"/>
  <c r="D22" i="1"/>
  <c r="D23" i="1"/>
  <c r="E23" i="1" s="1"/>
  <c r="D24" i="1"/>
  <c r="E24" i="1" s="1"/>
  <c r="D25" i="1"/>
  <c r="D26" i="1"/>
  <c r="D27" i="1"/>
  <c r="E27" i="1" s="1"/>
  <c r="D28" i="1"/>
  <c r="E28" i="1" s="1"/>
  <c r="D29" i="1"/>
  <c r="E29" i="1" s="1"/>
  <c r="D30" i="1"/>
  <c r="E30" i="1" s="1"/>
  <c r="D31" i="1"/>
  <c r="E31" i="1" s="1"/>
  <c r="D32" i="1"/>
  <c r="D33" i="1"/>
  <c r="E33" i="1" s="1"/>
  <c r="D34" i="1"/>
  <c r="E34" i="1" s="1"/>
  <c r="E5" i="1"/>
  <c r="Q30" i="1"/>
  <c r="Q27" i="1"/>
  <c r="Q28" i="1"/>
  <c r="Q29" i="1"/>
  <c r="E12" i="1"/>
  <c r="E11" i="1"/>
  <c r="Q12" i="1"/>
  <c r="Q11" i="1"/>
  <c r="E10" i="1"/>
  <c r="Q10" i="1"/>
  <c r="Q2" i="1"/>
  <c r="Q3" i="1"/>
  <c r="Q4" i="1"/>
  <c r="Q5" i="1"/>
  <c r="Q6" i="1"/>
  <c r="Q7" i="1"/>
  <c r="Q8" i="1"/>
  <c r="Q9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31" i="1"/>
  <c r="Q32" i="1"/>
  <c r="Q33" i="1"/>
  <c r="Q34" i="1"/>
  <c r="Q35" i="1"/>
  <c r="E32" i="1"/>
  <c r="E26" i="1"/>
  <c r="E25" i="1"/>
  <c r="E21" i="1"/>
  <c r="E22" i="1"/>
  <c r="E20" i="1"/>
  <c r="E19" i="1"/>
  <c r="E3" i="1"/>
  <c r="E4" i="1"/>
  <c r="E6" i="1"/>
  <c r="E9" i="1"/>
  <c r="E13" i="1"/>
  <c r="E14" i="1"/>
  <c r="E15" i="1"/>
  <c r="E16" i="1"/>
  <c r="E35" i="1"/>
  <c r="D2" i="1"/>
  <c r="E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Optional. Leave blank to use the scene start as the source start inside host/guest video. Fill only when jumping to a specific source timestamp.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Anchor for audio timing: intro_start, opening_show_image_start, interview_start, outro_start, final_start. Start/end are offsets from this anchor; negative offsets are allowed.</t>
        </r>
      </text>
    </comment>
  </commentList>
</comments>
</file>

<file path=xl/sharedStrings.xml><?xml version="1.0" encoding="utf-8"?>
<sst xmlns="http://schemas.openxmlformats.org/spreadsheetml/2006/main" count="434" uniqueCount="204">
  <si>
    <t>enabled</t>
  </si>
  <si>
    <t>scene_id</t>
  </si>
  <si>
    <t>start</t>
  </si>
  <si>
    <t>end</t>
  </si>
  <si>
    <t>duration</t>
  </si>
  <si>
    <t>source_start</t>
  </si>
  <si>
    <t>layout</t>
  </si>
  <si>
    <t>primary_camera</t>
  </si>
  <si>
    <t>host_source</t>
  </si>
  <si>
    <t>guest_01_source</t>
  </si>
  <si>
    <t>guest_02_source</t>
  </si>
  <si>
    <t>broll_id</t>
  </si>
  <si>
    <t>broll_file</t>
  </si>
  <si>
    <t>broll_source_start</t>
  </si>
  <si>
    <t>top_row_text</t>
  </si>
  <si>
    <t>bottom_row_text</t>
  </si>
  <si>
    <t>notes</t>
  </si>
  <si>
    <t>INTRO</t>
  </si>
  <si>
    <t>00:00:00.000</t>
  </si>
  <si>
    <t>intro</t>
  </si>
  <si>
    <t>intro.mp4</t>
  </si>
  <si>
    <t>Automatic opening intro, now visible in full rendered timeline.</t>
  </si>
  <si>
    <t>OPENING_SHOW_IMAGE</t>
  </si>
  <si>
    <t>show_image</t>
  </si>
  <si>
    <t>show_image.png</t>
  </si>
  <si>
    <t>Opening show image, now visible in full rendered timeline.</t>
  </si>
  <si>
    <t>S001</t>
  </si>
  <si>
    <t>1cam</t>
  </si>
  <si>
    <t>host</t>
  </si>
  <si>
    <t>host.mp4</t>
  </si>
  <si>
    <t>guest_01.mp4</t>
  </si>
  <si>
    <t>DAVID BAKER | HOST, BAKER STRATEGY LLC</t>
  </si>
  <si>
    <t>S002</t>
  </si>
  <si>
    <t>2cam</t>
  </si>
  <si>
    <t>DAVID HART | FOUNDER AND CEO, RAMAIR INTERNATIONAL</t>
  </si>
  <si>
    <t>guest_01</t>
  </si>
  <si>
    <t>S004</t>
  </si>
  <si>
    <t>guest_02.mp4</t>
  </si>
  <si>
    <t>guest_02</t>
  </si>
  <si>
    <t>OUTRO</t>
  </si>
  <si>
    <t>outro</t>
  </si>
  <si>
    <t>Automatic outro show image, now visible in full rendered timeline.</t>
  </si>
  <si>
    <t>file_name</t>
  </si>
  <si>
    <t>description</t>
  </si>
  <si>
    <t>default_source_start</t>
  </si>
  <si>
    <t>00:00:10.000</t>
  </si>
  <si>
    <t>audio_id</t>
  </si>
  <si>
    <t>anchor</t>
  </si>
  <si>
    <t>file</t>
  </si>
  <si>
    <t>volume</t>
  </si>
  <si>
    <t>fade_in</t>
  </si>
  <si>
    <t>fade_out</t>
  </si>
  <si>
    <t>duck_under_voice</t>
  </si>
  <si>
    <t>intro_music</t>
  </si>
  <si>
    <t>intro_start</t>
  </si>
  <si>
    <t>music.wav</t>
  </si>
  <si>
    <t>very beginning of the automatic intro</t>
  </si>
  <si>
    <t>outro_music</t>
  </si>
  <si>
    <t>outro_start</t>
  </si>
  <si>
    <t>-00:00:10.000</t>
  </si>
  <si>
    <t>00:00:15.000</t>
  </si>
  <si>
    <t>00:01:49.000</t>
  </si>
  <si>
    <t>start of the automatic 5-second outro image</t>
  </si>
  <si>
    <t>opening_show_image_music</t>
  </si>
  <si>
    <t>opening_show_image_start</t>
  </si>
  <si>
    <t>00:00:23.000</t>
  </si>
  <si>
    <t>00:00:04.000</t>
  </si>
  <si>
    <t>start of the 5-second show image after intro</t>
  </si>
  <si>
    <t>interview_start</t>
  </si>
  <si>
    <t>00:00:27.000</t>
  </si>
  <si>
    <t>start of the actual interview portion</t>
  </si>
  <si>
    <t>final_start</t>
  </si>
  <si>
    <t>absolute beginning of the full video</t>
  </si>
  <si>
    <t>final_end</t>
  </si>
  <si>
    <t>absolute end of the full video</t>
  </si>
  <si>
    <t>type</t>
  </si>
  <si>
    <t>text_line_1</t>
  </si>
  <si>
    <t>text_line_2</t>
  </si>
  <si>
    <t>position</t>
  </si>
  <si>
    <t>style</t>
  </si>
  <si>
    <t>linked_scene_id</t>
  </si>
  <si>
    <t>broll_card</t>
  </si>
  <si>
    <t>asset_key</t>
  </si>
  <si>
    <t>purpose</t>
  </si>
  <si>
    <t>Main show image / outro</t>
  </si>
  <si>
    <t>show_image_lower_third</t>
  </si>
  <si>
    <t>show_image_lower_third.png</t>
  </si>
  <si>
    <t>Left lower-third image</t>
  </si>
  <si>
    <t>logo_square</t>
  </si>
  <si>
    <t>logo_square.png</t>
  </si>
  <si>
    <t>Right lower-third logo</t>
  </si>
  <si>
    <t>Opening video</t>
  </si>
  <si>
    <t>music</t>
  </si>
  <si>
    <t>Intro/outro music</t>
  </si>
  <si>
    <t>Host camera</t>
  </si>
  <si>
    <t>Guest camera</t>
  </si>
  <si>
    <t>setting</t>
  </si>
  <si>
    <t>value</t>
  </si>
  <si>
    <t>template_name</t>
  </si>
  <si>
    <t>ramair_interview</t>
  </si>
  <si>
    <t>render_width</t>
  </si>
  <si>
    <t>render_height</t>
  </si>
  <si>
    <t>fps</t>
  </si>
  <si>
    <t>subtitle_style</t>
  </si>
  <si>
    <t>template_default</t>
  </si>
  <si>
    <t>See templates/ramair_interview/styles/subtitles.json</t>
  </si>
  <si>
    <t>auto_intro</t>
  </si>
  <si>
    <t>FALSE</t>
  </si>
  <si>
    <t>Bookends are now explicit rows in Scenes.</t>
  </si>
  <si>
    <t>intro_asset</t>
  </si>
  <si>
    <t>Asset used for automatic intro.</t>
  </si>
  <si>
    <t>auto_opening_show_image</t>
  </si>
  <si>
    <t>opening_show_image_duration</t>
  </si>
  <si>
    <t>00:00:05.000</t>
  </si>
  <si>
    <t>Opening show image duration.</t>
  </si>
  <si>
    <t>auto_outro_show_image</t>
  </si>
  <si>
    <t>outro_show_image_duration</t>
  </si>
  <si>
    <t>Outro show image duration.</t>
  </si>
  <si>
    <t>show_image_asset</t>
  </si>
  <si>
    <t>Asset used for opening and outro show image.</t>
  </si>
  <si>
    <t>background_video</t>
  </si>
  <si>
    <t>background.mov</t>
  </si>
  <si>
    <t>Looped background video used behind multi-box layouts.</t>
  </si>
  <si>
    <t>timeline_mode</t>
  </si>
  <si>
    <t>full_rendered</t>
  </si>
  <si>
    <t>Scenes.start/end match the final rendered-video timeline.</t>
  </si>
  <si>
    <t>intro_lower_third_scene_id</t>
  </si>
  <si>
    <t>Optional: scene_id whose lower third should be shown during intro scenes only.</t>
  </si>
  <si>
    <t>Video Plan Instructions</t>
  </si>
  <si>
    <t>Edit the Scenes, Broll, Graphics, Assets, and Settings tabs. Keep time fields as text in HH:MM:SS.000 format.</t>
  </si>
  <si>
    <t>The duration column may be a helper formula. The converter can also calculate duration from start/end later.</t>
  </si>
  <si>
    <t>Use scene_id and graphic_id as stable row identifiers. They should be unique.</t>
  </si>
  <si>
    <t>Column1</t>
  </si>
  <si>
    <t>S003</t>
  </si>
  <si>
    <t>S005</t>
  </si>
  <si>
    <t>EPISODE 04: RESTORATION STARTS HERE</t>
  </si>
  <si>
    <t>CHAR</t>
  </si>
  <si>
    <t>2cam_broll</t>
  </si>
  <si>
    <t>HVAC IS THE MOST IGNORED PORTION OF RESTORATION PROJECTS</t>
  </si>
  <si>
    <t>STRUCTURE, CONTENTS, AND INDOOR AIR QUALITY</t>
  </si>
  <si>
    <t>CAPTURE REVENUE WITH NEW XACTIMATE BILLING CODES</t>
  </si>
  <si>
    <t>HVAC SYSTEM IS THE LUNGS OF THE BUILDING</t>
  </si>
  <si>
    <t>RESTORATION PROFESSIONALS USING POSITIVE AIR DUCT CLEANING</t>
  </si>
  <si>
    <t>S007</t>
  </si>
  <si>
    <t>S008</t>
  </si>
  <si>
    <t>S009</t>
  </si>
  <si>
    <t>S013</t>
  </si>
  <si>
    <t>S010</t>
  </si>
  <si>
    <t>S011</t>
  </si>
  <si>
    <t>S012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</si>
  <si>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</si>
  <si>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</si>
  <si>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</si>
  <si>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</si>
  <si>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</si>
  <si>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</si>
  <si>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</si>
  <si>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</si>
  <si>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</si>
  <si>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</si>
  <si>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</si>
  <si>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</si>
  <si>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David Hart at The Experience</t>
  </si>
  <si>
    <t>DAVID HART SPEAKING AT THE EXPERIENCE 2024</t>
  </si>
  <si>
    <t>te</t>
  </si>
  <si>
    <t>te.png</t>
  </si>
  <si>
    <t>The Experience 2026</t>
  </si>
  <si>
    <t>panel</t>
  </si>
  <si>
    <t>panel.png</t>
  </si>
  <si>
    <t>davidhart1.mp4</t>
  </si>
  <si>
    <t>davidhart2.mp4</t>
  </si>
  <si>
    <t>davidhart1</t>
  </si>
  <si>
    <t>davidhart2</t>
  </si>
  <si>
    <t>S026</t>
  </si>
  <si>
    <t>S027</t>
  </si>
  <si>
    <t>S028</t>
  </si>
  <si>
    <t>ciri1</t>
  </si>
  <si>
    <t>ciri2</t>
  </si>
  <si>
    <t>ciri3</t>
  </si>
  <si>
    <t>ciri4</t>
  </si>
  <si>
    <t>ciri0</t>
  </si>
  <si>
    <t>ciri5</t>
  </si>
  <si>
    <t>ciri1.jpg</t>
  </si>
  <si>
    <t>ciri2.jpg</t>
  </si>
  <si>
    <t>ciri3.jpg</t>
  </si>
  <si>
    <t>ciri4.jpg</t>
  </si>
  <si>
    <t>ciri5.jpg</t>
  </si>
  <si>
    <t>CIRI Article</t>
  </si>
  <si>
    <t>S029</t>
  </si>
  <si>
    <t>S030</t>
  </si>
  <si>
    <t>S031</t>
  </si>
  <si>
    <t>S032</t>
  </si>
  <si>
    <t>john</t>
  </si>
  <si>
    <t>john.png</t>
  </si>
  <si>
    <t>John Miles</t>
  </si>
  <si>
    <t>ss</t>
  </si>
  <si>
    <t>ss.mp4</t>
  </si>
  <si>
    <t>SuperStratum</t>
  </si>
  <si>
    <t>ss.mpl4</t>
  </si>
  <si>
    <t>SUPERSTRATUM LABS</t>
  </si>
  <si>
    <t xml:space="preserve"> </t>
  </si>
  <si>
    <t>HVAC CLEANING SHOULD BE PART OF ANY RESTORATION PROJECT</t>
  </si>
  <si>
    <t>POSITIVE AIR DUCT CLEANING—A NEW METHODOLOGY</t>
  </si>
  <si>
    <t>FEATURED ARTICLE, THE JOURNAL OF CLEANING SCIENCE (CIRI)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</si>
</sst>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0B2A4A"/>
      <name val="Calibri"/>
    </font>
    <font>
      <sz val="11"/>
      <color theme="1" tint="0.34998626667073579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2A4A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0" fontId="2" fillId="0" borderId="0" xfId="0" applyFont="1"/>
    <xf numFmtId="0" fontId="0" fillId="3" borderId="0" xfId="0" applyFill="1" applyAlignment="1">
      <alignment wrapText="1"/>
    </xf>
    <xf numFmtId="0" fontId="1" fillId="4" borderId="0" xfId="0" applyFont="1" applyFill="1"/>
    <xf numFmtId="0" fontId="0" fillId="0" borderId="0" xfId="0" applyAlignment="1">
      <alignment horizontal="center"/>
    </xf>
    <xf numFmtId="0" fontId="0" fillId="5" borderId="0" xfId="0" applyFill="1"/>
    <xf numFmtId="0" fontId="1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28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alignment horizontal="center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30" formatCode="@"/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vertAlign val="baseline"/>
        <sz val="11"/>
        <color theme="1" tint="0.34998626667073579"/>
        <name val="Calibri"/>
        <family val="2"/>
        <scheme val="minor"/>
      </font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color theme="1" tint="0.34998626667073579"/>
        <name val="Calibri"/>
        <family val="2"/>
        <scheme val="minor"/>
      </font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font>
        <strike val="0"/>
        <outline val="0"/>
        <shadow val="0"/>
        <vertAlign val="baseline"/>
        <sz val="11"/>
        <color theme="1" tint="0.34998626667073579"/>
        <name val="Calibri"/>
        <family val="2"/>
        <scheme val="minor"/>
      </font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numFmt numFmtId="164" formatCode="hh:mm:ss.000"/>
      <fill>
        <patternFill patternType="none">
          <fgColor indexed="64"/>
          <bgColor auto="1"/>
        </patternFill>
      </fill>
      <alignment horizontal="center" vertical="bottom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esTable" displayName="ScenesTable" ref="A1:R35" headerRowDxfId="27" dataDxfId="26" totalsRowDxfId="25">
  <autoFilter ref="A1:R35" xr:uid="{00000000-0009-0000-0100-000001000000}"/>
  <tableColumns count="18">
    <tableColumn id="1" xr3:uid="{00000000-0010-0000-0000-000001000000}" name="enabled" dataDxfId="24"/>
    <tableColumn id="2" xr3:uid="{00000000-0010-0000-0000-000002000000}" name="scene_id" dataDxfId="23"/>
    <tableColumn id="3" xr3:uid="{00000000-0010-0000-0000-000003000000}" name="start" dataDxfId="22"/>
    <tableColumn id="4" xr3:uid="{00000000-0010-0000-0000-000004000000}" name="end" dataDxfId="21"/>
    <tableColumn id="5" xr3:uid="{00000000-0010-0000-0000-000005000000}" name="duration" dataDxfId="20">
      <calculatedColumnFormula>ScenesTable[[#This Row],[end]]-ScenesTable[[#This Row],[start]]</calculatedColumnFormula>
    </tableColumn>
    <tableColumn id="6" xr3:uid="{00000000-0010-0000-0000-000006000000}" name="source_start" dataDxfId="19"/>
    <tableColumn id="7" xr3:uid="{00000000-0010-0000-0000-000007000000}" name="layout" dataDxfId="18"/>
    <tableColumn id="8" xr3:uid="{00000000-0010-0000-0000-000008000000}" name="primary_camera" dataDxfId="17"/>
    <tableColumn id="9" xr3:uid="{00000000-0010-0000-0000-000009000000}" name="host_source" dataDxfId="16"/>
    <tableColumn id="10" xr3:uid="{00000000-0010-0000-0000-00000A000000}" name="guest_01_source" dataDxfId="15"/>
    <tableColumn id="11" xr3:uid="{00000000-0010-0000-0000-00000B000000}" name="guest_02_source" dataDxfId="14"/>
    <tableColumn id="12" xr3:uid="{00000000-0010-0000-0000-00000C000000}" name="broll_id" dataDxfId="13"/>
    <tableColumn id="13" xr3:uid="{00000000-0010-0000-0000-00000D000000}" name="broll_file" dataDxfId="12"/>
    <tableColumn id="14" xr3:uid="{00000000-0010-0000-0000-00000E000000}" name="broll_source_start" dataDxfId="11"/>
    <tableColumn id="15" xr3:uid="{00000000-0010-0000-0000-00000F000000}" name="top_row_text" dataDxfId="10"/>
    <tableColumn id="16" xr3:uid="{00000000-0010-0000-0000-000010000000}" name="bottom_row_text" dataDxfId="9"/>
    <tableColumn id="18" xr3:uid="{E278E2CD-3D63-4193-991E-9EF1FFD60C0A}" name="CHAR" dataDxfId="8">
      <calculatedColumnFormula>LEN(ScenesTable[[#This Row],[bottom_row_text]])</calculatedColumnFormula>
    </tableColumn>
    <tableColumn id="17" xr3:uid="{00000000-0010-0000-0000-000011000000}" name="not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ollTable" displayName="BrollTable" ref="A1:E11">
  <autoFilter ref="A1:E11" xr:uid="{00000000-0009-0000-0100-000002000000}"/>
  <tableColumns count="5">
    <tableColumn id="1" xr3:uid="{00000000-0010-0000-0100-000001000000}" name="broll_id"/>
    <tableColumn id="2" xr3:uid="{00000000-0010-0000-0100-000002000000}" name="file_name"/>
    <tableColumn id="3" xr3:uid="{00000000-0010-0000-0100-000003000000}" name="description"/>
    <tableColumn id="4" xr3:uid="{00000000-0010-0000-0100-000004000000}" name="default_source_start" dataDxfId="6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aphicsTable" displayName="GraphicsTable" ref="A1:K4">
  <autoFilter ref="A1:K4" xr:uid="{00000000-0009-0000-0100-000003000000}"/>
  <tableColumns count="11">
    <tableColumn id="1" xr3:uid="{00000000-0010-0000-0200-000001000000}" name="enabled"/>
    <tableColumn id="2" xr3:uid="{00000000-0010-0000-0200-000002000000}" name="Column1"/>
    <tableColumn id="3" xr3:uid="{00000000-0010-0000-0200-000003000000}" name="type"/>
    <tableColumn id="4" xr3:uid="{00000000-0010-0000-0200-000004000000}" name="start" dataDxfId="5"/>
    <tableColumn id="5" xr3:uid="{00000000-0010-0000-0200-000005000000}" name="end" dataDxfId="4"/>
    <tableColumn id="6" xr3:uid="{00000000-0010-0000-0200-000006000000}" name="text_line_1" dataDxfId="3"/>
    <tableColumn id="7" xr3:uid="{00000000-0010-0000-0200-000007000000}" name="text_line_2"/>
    <tableColumn id="8" xr3:uid="{00000000-0010-0000-0200-000008000000}" name="position"/>
    <tableColumn id="9" xr3:uid="{00000000-0010-0000-0200-000009000000}" name="style"/>
    <tableColumn id="10" xr3:uid="{00000000-0010-0000-0200-00000A000000}" name="linked_scene_id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etsTable" displayName="AssetsTable" ref="A1:C9">
  <autoFilter ref="A1:C9" xr:uid="{00000000-0009-0000-0100-000004000000}"/>
  <tableColumns count="3">
    <tableColumn id="1" xr3:uid="{00000000-0010-0000-0300-000001000000}" name="asset_key"/>
    <tableColumn id="2" xr3:uid="{00000000-0010-0000-0300-000002000000}" name="file_name"/>
    <tableColumn id="3" xr3:uid="{00000000-0010-0000-0300-000003000000}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ttingsTable" displayName="SettingsTable" ref="A1:C16">
  <autoFilter ref="A1:C16" xr:uid="{00000000-0009-0000-0100-000005000000}"/>
  <tableColumns count="3">
    <tableColumn id="1" xr3:uid="{00000000-0010-0000-0400-000001000000}" name="setting"/>
    <tableColumn id="2" xr3:uid="{00000000-0010-0000-0400-000002000000}" name="value" dataDxfId="2"/>
    <tableColumn id="3" xr3:uid="{00000000-0010-0000-04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showGridLines="0" tabSelected="1" topLeftCell="D3" workbookViewId="0">
      <selection activeCell="P19" sqref="P19"/>
    </sheetView>
  </sheetViews>
  <sheetFormatPr defaultRowHeight="15" x14ac:dyDescent="0.25"/>
  <cols>
    <col min="1" max="1" width="11.28515625" customWidth="1"/>
    <col min="2" max="2" width="23.140625" style="6" bestFit="1" customWidth="1"/>
    <col min="3" max="3" width="16" customWidth="1"/>
    <col min="4" max="4" width="19.140625" customWidth="1"/>
    <col min="5" max="5" width="13.140625" style="6" bestFit="1" customWidth="1"/>
    <col min="6" max="6" width="12" style="6" hidden="1" customWidth="1"/>
    <col min="7" max="8" width="16" style="6" customWidth="1"/>
    <col min="9" max="10" width="18" style="6" customWidth="1"/>
    <col min="11" max="11" width="7.5703125" style="6" hidden="1" customWidth="1"/>
    <col min="12" max="12" width="14" style="6" customWidth="1"/>
    <col min="13" max="13" width="13.28515625" style="6" customWidth="1"/>
    <col min="14" max="14" width="4.5703125" style="6" hidden="1" customWidth="1"/>
    <col min="15" max="15" width="62.140625" customWidth="1"/>
    <col min="16" max="16" width="69.42578125" customWidth="1"/>
    <col min="17" max="17" width="8.42578125" style="6" customWidth="1"/>
    <col min="18" max="18" width="8.85546875" hidden="1" customWidth="1"/>
    <col min="19" max="19" width="18.140625" customWidth="1"/>
  </cols>
  <sheetData>
    <row r="1" spans="1:18" ht="30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6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136</v>
      </c>
      <c r="R1" s="11" t="s">
        <v>16</v>
      </c>
    </row>
    <row r="2" spans="1:18" x14ac:dyDescent="0.25">
      <c r="A2" t="b">
        <v>1</v>
      </c>
      <c r="B2" t="s">
        <v>17</v>
      </c>
      <c r="C2" s="9" t="s">
        <v>18</v>
      </c>
      <c r="D2" s="10">
        <f t="shared" ref="D2:D34" si="0">C3</f>
        <v>1.7361111111111112E-4</v>
      </c>
      <c r="E2" s="10">
        <f>ScenesTable[[#This Row],[end]]-ScenesTable[[#This Row],[start]]</f>
        <v>1.7361111111111112E-4</v>
      </c>
      <c r="F2" s="10"/>
      <c r="G2" s="10" t="s">
        <v>19</v>
      </c>
      <c r="I2" t="s">
        <v>20</v>
      </c>
      <c r="Q2" s="6">
        <f>LEN(ScenesTable[[#This Row],[bottom_row_text]])</f>
        <v>0</v>
      </c>
      <c r="R2" t="s">
        <v>21</v>
      </c>
    </row>
    <row r="3" spans="1:18" x14ac:dyDescent="0.25">
      <c r="A3" t="b">
        <v>1</v>
      </c>
      <c r="B3" t="s">
        <v>22</v>
      </c>
      <c r="C3" s="9">
        <v>1.7361111111111112E-4</v>
      </c>
      <c r="D3" s="10">
        <f t="shared" si="0"/>
        <v>2.199074074074074E-4</v>
      </c>
      <c r="E3" s="10">
        <f>ScenesTable[[#This Row],[end]]-ScenesTable[[#This Row],[start]]</f>
        <v>4.6296296296296287E-5</v>
      </c>
      <c r="F3" s="10"/>
      <c r="G3" s="10" t="s">
        <v>23</v>
      </c>
      <c r="I3" t="s">
        <v>24</v>
      </c>
      <c r="Q3" s="6">
        <f>LEN(ScenesTable[[#This Row],[bottom_row_text]])</f>
        <v>0</v>
      </c>
      <c r="R3" t="s">
        <v>25</v>
      </c>
    </row>
    <row r="4" spans="1:18" x14ac:dyDescent="0.25">
      <c r="A4" t="b">
        <v>1</v>
      </c>
      <c r="B4" t="s">
        <v>26</v>
      </c>
      <c r="C4" s="9">
        <v>2.199074074074074E-4</v>
      </c>
      <c r="D4" s="10">
        <f t="shared" si="0"/>
        <v>2.7777777777777778E-4</v>
      </c>
      <c r="E4" s="10">
        <f>ScenesTable[[#This Row],[end]]-ScenesTable[[#This Row],[start]]</f>
        <v>5.7870370370370373E-5</v>
      </c>
      <c r="F4" s="10"/>
      <c r="G4" s="10" t="s">
        <v>27</v>
      </c>
      <c r="H4" t="s">
        <v>28</v>
      </c>
      <c r="I4" t="s">
        <v>29</v>
      </c>
      <c r="J4"/>
      <c r="O4" t="s">
        <v>31</v>
      </c>
      <c r="P4" t="s">
        <v>135</v>
      </c>
      <c r="Q4" s="6">
        <f>LEN(ScenesTable[[#This Row],[bottom_row_text]])</f>
        <v>35</v>
      </c>
    </row>
    <row r="5" spans="1:18" x14ac:dyDescent="0.25">
      <c r="A5" t="b">
        <v>1</v>
      </c>
      <c r="B5" t="s">
        <v>32</v>
      </c>
      <c r="C5" s="9">
        <v>2.7777777777777778E-4</v>
      </c>
      <c r="D5" s="10">
        <f t="shared" si="0"/>
        <v>5.0925925925925921E-4</v>
      </c>
      <c r="E5" s="10">
        <f>ScenesTable[[#This Row],[end]]-ScenesTable[[#This Row],[start]]</f>
        <v>2.3148148148148144E-4</v>
      </c>
      <c r="F5" s="10"/>
      <c r="G5" s="10" t="s">
        <v>33</v>
      </c>
      <c r="H5" t="s">
        <v>28</v>
      </c>
      <c r="I5" t="s">
        <v>29</v>
      </c>
      <c r="J5" t="s">
        <v>30</v>
      </c>
      <c r="O5" t="s">
        <v>34</v>
      </c>
      <c r="P5" t="s">
        <v>135</v>
      </c>
      <c r="Q5" s="6">
        <f>LEN(ScenesTable[[#This Row],[bottom_row_text]])</f>
        <v>35</v>
      </c>
    </row>
    <row r="6" spans="1:18" x14ac:dyDescent="0.25">
      <c r="A6" t="b">
        <v>1</v>
      </c>
      <c r="B6" t="s">
        <v>133</v>
      </c>
      <c r="C6" s="9">
        <v>5.0925925925925921E-4</v>
      </c>
      <c r="D6" s="10">
        <f t="shared" si="0"/>
        <v>7.7546296296296293E-4</v>
      </c>
      <c r="E6" s="10">
        <f>ScenesTable[[#This Row],[end]]-ScenesTable[[#This Row],[start]]</f>
        <v>2.6620370370370372E-4</v>
      </c>
      <c r="F6" s="10"/>
      <c r="G6" s="10" t="s">
        <v>33</v>
      </c>
      <c r="H6" t="s">
        <v>28</v>
      </c>
      <c r="I6" t="s">
        <v>29</v>
      </c>
      <c r="J6" t="s">
        <v>30</v>
      </c>
      <c r="K6"/>
      <c r="O6" t="s">
        <v>34</v>
      </c>
      <c r="P6" t="s">
        <v>201</v>
      </c>
      <c r="Q6" s="6">
        <f>LEN(ScenesTable[[#This Row],[bottom_row_text]])</f>
        <v>55</v>
      </c>
    </row>
    <row r="7" spans="1:18" x14ac:dyDescent="0.25">
      <c r="A7" t="b">
        <v>1</v>
      </c>
      <c r="B7" t="s">
        <v>36</v>
      </c>
      <c r="C7" s="9">
        <v>7.7546296296296293E-4</v>
      </c>
      <c r="D7" s="10">
        <f t="shared" si="0"/>
        <v>1.0879629629629629E-3</v>
      </c>
      <c r="E7" s="10">
        <f>ScenesTable[[#This Row],[end]]-ScenesTable[[#This Row],[start]]</f>
        <v>3.1249999999999995E-4</v>
      </c>
      <c r="F7" s="10"/>
      <c r="G7" s="10" t="s">
        <v>27</v>
      </c>
      <c r="H7" t="s">
        <v>35</v>
      </c>
      <c r="J7" t="s">
        <v>30</v>
      </c>
      <c r="K7"/>
      <c r="O7" t="s">
        <v>34</v>
      </c>
      <c r="P7" t="s">
        <v>201</v>
      </c>
      <c r="Q7" s="6">
        <f>LEN(ScenesTable[[#This Row],[bottom_row_text]])</f>
        <v>55</v>
      </c>
    </row>
    <row r="8" spans="1:18" x14ac:dyDescent="0.25">
      <c r="A8" t="b">
        <v>1</v>
      </c>
      <c r="B8" t="s">
        <v>134</v>
      </c>
      <c r="C8" s="9">
        <v>1.0879629629629629E-3</v>
      </c>
      <c r="D8" s="10">
        <f t="shared" si="0"/>
        <v>1.2037037037037038E-3</v>
      </c>
      <c r="E8" s="10">
        <f>ScenesTable[[#This Row],[end]]-ScenesTable[[#This Row],[start]]</f>
        <v>1.1574074074074091E-4</v>
      </c>
      <c r="F8" s="10"/>
      <c r="G8" s="10" t="s">
        <v>33</v>
      </c>
      <c r="H8" t="s">
        <v>28</v>
      </c>
      <c r="I8" t="s">
        <v>29</v>
      </c>
      <c r="J8" t="s">
        <v>30</v>
      </c>
      <c r="K8"/>
      <c r="L8"/>
      <c r="M8"/>
      <c r="N8"/>
      <c r="O8" t="s">
        <v>34</v>
      </c>
      <c r="P8" t="s">
        <v>201</v>
      </c>
      <c r="Q8" s="6">
        <f>LEN(ScenesTable[[#This Row],[bottom_row_text]])</f>
        <v>55</v>
      </c>
    </row>
    <row r="9" spans="1:18" x14ac:dyDescent="0.25">
      <c r="A9" t="b">
        <v>1</v>
      </c>
      <c r="B9" t="s">
        <v>143</v>
      </c>
      <c r="C9" s="9">
        <v>1.2037037037037038E-3</v>
      </c>
      <c r="D9" s="10">
        <f t="shared" si="0"/>
        <v>1.3310185185185185E-3</v>
      </c>
      <c r="E9" s="10">
        <f>ScenesTable[[#This Row],[end]]-ScenesTable[[#This Row],[start]]</f>
        <v>1.2731481481481469E-4</v>
      </c>
      <c r="F9" s="10"/>
      <c r="G9" s="10" t="s">
        <v>137</v>
      </c>
      <c r="H9" t="s">
        <v>28</v>
      </c>
      <c r="I9" t="s">
        <v>29</v>
      </c>
      <c r="J9" t="s">
        <v>30</v>
      </c>
      <c r="K9"/>
      <c r="L9" t="s">
        <v>164</v>
      </c>
      <c r="M9" t="s">
        <v>165</v>
      </c>
      <c r="N9"/>
      <c r="O9" t="s">
        <v>34</v>
      </c>
      <c r="P9" t="s">
        <v>138</v>
      </c>
      <c r="Q9" s="6">
        <f>LEN(ScenesTable[[#This Row],[bottom_row_text]])</f>
        <v>56</v>
      </c>
    </row>
    <row r="10" spans="1:18" x14ac:dyDescent="0.25">
      <c r="A10" t="b">
        <v>1</v>
      </c>
      <c r="B10" t="s">
        <v>144</v>
      </c>
      <c r="C10" s="9">
        <v>1.3310185185185185E-3</v>
      </c>
      <c r="D10" s="10">
        <f t="shared" si="0"/>
        <v>1.5393518518518519E-3</v>
      </c>
      <c r="E10" s="10">
        <f>ScenesTable[[#This Row],[end]]-ScenesTable[[#This Row],[start]]</f>
        <v>2.0833333333333337E-4</v>
      </c>
      <c r="F10" s="10"/>
      <c r="G10" s="10" t="s">
        <v>137</v>
      </c>
      <c r="H10" t="s">
        <v>28</v>
      </c>
      <c r="I10" t="s">
        <v>29</v>
      </c>
      <c r="J10" t="s">
        <v>30</v>
      </c>
      <c r="K10"/>
      <c r="L10" t="s">
        <v>171</v>
      </c>
      <c r="M10" t="s">
        <v>169</v>
      </c>
      <c r="N10"/>
      <c r="O10" t="s">
        <v>34</v>
      </c>
      <c r="P10" t="s">
        <v>138</v>
      </c>
      <c r="Q10" s="6">
        <f>LEN(ScenesTable[[#This Row],[bottom_row_text]])</f>
        <v>56</v>
      </c>
    </row>
    <row r="11" spans="1:18" x14ac:dyDescent="0.25">
      <c r="A11" t="b">
        <v>1</v>
      </c>
      <c r="B11" t="s">
        <v>145</v>
      </c>
      <c r="C11" s="9">
        <v>1.5393518518518519E-3</v>
      </c>
      <c r="D11" s="10">
        <f t="shared" si="0"/>
        <v>1.6666666666666668E-3</v>
      </c>
      <c r="E11" s="10">
        <f>ScenesTable[[#This Row],[end]]-ScenesTable[[#This Row],[start]]</f>
        <v>1.2731481481481491E-4</v>
      </c>
      <c r="F11" s="10"/>
      <c r="G11" s="10" t="s">
        <v>137</v>
      </c>
      <c r="H11" t="s">
        <v>28</v>
      </c>
      <c r="I11" t="s">
        <v>29</v>
      </c>
      <c r="J11" t="s">
        <v>30</v>
      </c>
      <c r="K11"/>
      <c r="L11" t="s">
        <v>167</v>
      </c>
      <c r="M11" t="s">
        <v>168</v>
      </c>
      <c r="N11"/>
      <c r="O11" t="s">
        <v>34</v>
      </c>
      <c r="P11" t="s">
        <v>138</v>
      </c>
      <c r="Q11" s="6">
        <f>LEN(ScenesTable[[#This Row],[bottom_row_text]])</f>
        <v>56</v>
      </c>
    </row>
    <row r="12" spans="1:18" x14ac:dyDescent="0.25">
      <c r="A12" t="b">
        <v>1</v>
      </c>
      <c r="B12" t="s">
        <v>147</v>
      </c>
      <c r="C12" s="9">
        <v>1.6666666666666668E-3</v>
      </c>
      <c r="D12" s="10">
        <f t="shared" si="0"/>
        <v>1.8634259259259259E-3</v>
      </c>
      <c r="E12" s="10">
        <f>ScenesTable[[#This Row],[end]]-ScenesTable[[#This Row],[start]]</f>
        <v>1.9675925925925915E-4</v>
      </c>
      <c r="F12" s="10"/>
      <c r="G12" s="10" t="s">
        <v>137</v>
      </c>
      <c r="H12" t="s">
        <v>28</v>
      </c>
      <c r="I12" t="s">
        <v>29</v>
      </c>
      <c r="J12" t="s">
        <v>30</v>
      </c>
      <c r="K12"/>
      <c r="L12" t="s">
        <v>172</v>
      </c>
      <c r="M12" t="s">
        <v>170</v>
      </c>
      <c r="N12"/>
      <c r="O12" t="s">
        <v>34</v>
      </c>
      <c r="P12" t="s">
        <v>138</v>
      </c>
      <c r="Q12" s="6">
        <f>LEN(ScenesTable[[#This Row],[bottom_row_text]])</f>
        <v>56</v>
      </c>
    </row>
    <row r="13" spans="1:18" x14ac:dyDescent="0.25">
      <c r="A13" t="b">
        <v>1</v>
      </c>
      <c r="B13" t="s">
        <v>148</v>
      </c>
      <c r="C13" s="9">
        <v>1.8634259259259259E-3</v>
      </c>
      <c r="D13" s="10">
        <f t="shared" si="0"/>
        <v>2.0370370370370369E-3</v>
      </c>
      <c r="E13" s="10">
        <f>ScenesTable[[#This Row],[end]]-ScenesTable[[#This Row],[start]]</f>
        <v>1.7361111111111093E-4</v>
      </c>
      <c r="F13" s="10"/>
      <c r="G13" s="10" t="s">
        <v>27</v>
      </c>
      <c r="H13" t="s">
        <v>35</v>
      </c>
      <c r="J13" t="s">
        <v>30</v>
      </c>
      <c r="K13"/>
      <c r="O13" t="s">
        <v>34</v>
      </c>
      <c r="P13" t="s">
        <v>138</v>
      </c>
      <c r="Q13" s="6">
        <f>LEN(ScenesTable[[#This Row],[bottom_row_text]])</f>
        <v>56</v>
      </c>
    </row>
    <row r="14" spans="1:18" x14ac:dyDescent="0.25">
      <c r="A14" t="b">
        <v>1</v>
      </c>
      <c r="B14" t="s">
        <v>149</v>
      </c>
      <c r="C14" s="9">
        <v>2.0370370370370369E-3</v>
      </c>
      <c r="D14" s="10">
        <f t="shared" si="0"/>
        <v>2.2453703703703702E-3</v>
      </c>
      <c r="E14" s="10">
        <f>ScenesTable[[#This Row],[end]]-ScenesTable[[#This Row],[start]]</f>
        <v>2.0833333333333337E-4</v>
      </c>
      <c r="F14" s="10"/>
      <c r="G14" s="10" t="s">
        <v>33</v>
      </c>
      <c r="H14" t="s">
        <v>28</v>
      </c>
      <c r="I14" t="s">
        <v>29</v>
      </c>
      <c r="J14" t="s">
        <v>30</v>
      </c>
      <c r="O14" t="s">
        <v>34</v>
      </c>
      <c r="P14" t="s">
        <v>139</v>
      </c>
      <c r="Q14" s="6">
        <f>LEN(ScenesTable[[#This Row],[bottom_row_text]])</f>
        <v>43</v>
      </c>
    </row>
    <row r="15" spans="1:18" x14ac:dyDescent="0.25">
      <c r="A15" t="b">
        <v>1</v>
      </c>
      <c r="B15" t="s">
        <v>146</v>
      </c>
      <c r="C15" s="9">
        <v>2.2453703703703702E-3</v>
      </c>
      <c r="D15" s="10">
        <f t="shared" si="0"/>
        <v>2.5462962962962965E-3</v>
      </c>
      <c r="E15" s="10">
        <f>ScenesTable[[#This Row],[end]]-ScenesTable[[#This Row],[start]]</f>
        <v>3.0092592592592627E-4</v>
      </c>
      <c r="F15" s="10"/>
      <c r="G15" s="10" t="s">
        <v>27</v>
      </c>
      <c r="H15" t="s">
        <v>35</v>
      </c>
      <c r="J15" t="s">
        <v>30</v>
      </c>
      <c r="K15"/>
      <c r="O15" t="s">
        <v>34</v>
      </c>
      <c r="P15" t="s">
        <v>139</v>
      </c>
      <c r="Q15" s="6">
        <f>LEN(ScenesTable[[#This Row],[bottom_row_text]])</f>
        <v>43</v>
      </c>
    </row>
    <row r="16" spans="1:18" x14ac:dyDescent="0.25">
      <c r="A16" t="b">
        <v>1</v>
      </c>
      <c r="B16" t="s">
        <v>150</v>
      </c>
      <c r="C16" s="9">
        <v>2.5462962962962965E-3</v>
      </c>
      <c r="D16" s="10">
        <f t="shared" si="0"/>
        <v>2.8240740740740739E-3</v>
      </c>
      <c r="E16" s="10">
        <f>ScenesTable[[#This Row],[end]]-ScenesTable[[#This Row],[start]]</f>
        <v>2.777777777777774E-4</v>
      </c>
      <c r="F16" s="10"/>
      <c r="G16" s="10" t="s">
        <v>33</v>
      </c>
      <c r="H16" t="s">
        <v>28</v>
      </c>
      <c r="I16" t="s">
        <v>29</v>
      </c>
      <c r="J16" t="s">
        <v>30</v>
      </c>
      <c r="K16"/>
      <c r="O16" t="s">
        <v>34</v>
      </c>
      <c r="P16" t="s">
        <v>139</v>
      </c>
      <c r="Q16" s="6">
        <f>LEN(ScenesTable[[#This Row],[bottom_row_text]])</f>
        <v>43</v>
      </c>
    </row>
    <row r="17" spans="1:17" x14ac:dyDescent="0.25">
      <c r="A17" t="b">
        <v>1</v>
      </c>
      <c r="B17" t="s">
        <v>151</v>
      </c>
      <c r="C17" s="9">
        <v>2.8240740740740739E-3</v>
      </c>
      <c r="D17" s="10">
        <f t="shared" si="0"/>
        <v>3.1712962962962962E-3</v>
      </c>
      <c r="E17" s="10">
        <f>ScenesTable[[#This Row],[end]]-ScenesTable[[#This Row],[start]]</f>
        <v>3.4722222222222229E-4</v>
      </c>
      <c r="F17" s="10"/>
      <c r="G17" s="10" t="s">
        <v>27</v>
      </c>
      <c r="H17" t="s">
        <v>35</v>
      </c>
      <c r="J17" t="s">
        <v>30</v>
      </c>
      <c r="K17"/>
      <c r="O17" t="s">
        <v>34</v>
      </c>
      <c r="P17" t="s">
        <v>140</v>
      </c>
      <c r="Q17" s="6">
        <f>LEN(ScenesTable[[#This Row],[bottom_row_text]])</f>
        <v>48</v>
      </c>
    </row>
    <row r="18" spans="1:17" x14ac:dyDescent="0.25">
      <c r="A18" t="b">
        <v>1</v>
      </c>
      <c r="B18" t="s">
        <v>152</v>
      </c>
      <c r="C18" s="9">
        <v>3.1712962962962962E-3</v>
      </c>
      <c r="D18" s="10">
        <f t="shared" si="0"/>
        <v>3.3564814814814816E-3</v>
      </c>
      <c r="E18" s="10">
        <f>ScenesTable[[#This Row],[end]]-ScenesTable[[#This Row],[start]]</f>
        <v>1.8518518518518537E-4</v>
      </c>
      <c r="F18" s="10"/>
      <c r="G18" s="10" t="s">
        <v>33</v>
      </c>
      <c r="H18" t="s">
        <v>28</v>
      </c>
      <c r="I18" t="s">
        <v>29</v>
      </c>
      <c r="J18" t="s">
        <v>30</v>
      </c>
      <c r="K18"/>
      <c r="O18" t="s">
        <v>34</v>
      </c>
      <c r="P18" t="s">
        <v>140</v>
      </c>
      <c r="Q18" s="6">
        <f>LEN(ScenesTable[[#This Row],[bottom_row_text]])</f>
        <v>48</v>
      </c>
    </row>
    <row r="19" spans="1:17" x14ac:dyDescent="0.25">
      <c r="A19" t="b">
        <v>1</v>
      </c>
      <c r="B19" t="s">
        <v>153</v>
      </c>
      <c r="C19" s="9">
        <v>3.3564814814814816E-3</v>
      </c>
      <c r="D19" s="10">
        <f t="shared" si="0"/>
        <v>3.4953703703703705E-3</v>
      </c>
      <c r="E19" s="10">
        <f>ScenesTable[[#This Row],[end]]-ScenesTable[[#This Row],[start]]</f>
        <v>1.3888888888888892E-4</v>
      </c>
      <c r="F19" s="10"/>
      <c r="G19" s="10" t="s">
        <v>33</v>
      </c>
      <c r="H19" t="s">
        <v>28</v>
      </c>
      <c r="I19" t="s">
        <v>29</v>
      </c>
      <c r="J19" t="s">
        <v>30</v>
      </c>
      <c r="K19"/>
      <c r="O19" t="s">
        <v>34</v>
      </c>
      <c r="P19" t="s">
        <v>141</v>
      </c>
      <c r="Q19" s="6">
        <f>LEN(ScenesTable[[#This Row],[bottom_row_text]])</f>
        <v>40</v>
      </c>
    </row>
    <row r="20" spans="1:17" x14ac:dyDescent="0.25">
      <c r="A20" t="b">
        <v>1</v>
      </c>
      <c r="B20" t="s">
        <v>154</v>
      </c>
      <c r="C20" s="9">
        <v>3.4953703703703705E-3</v>
      </c>
      <c r="D20" s="10">
        <f t="shared" si="0"/>
        <v>3.7037037037037038E-3</v>
      </c>
      <c r="E20" s="10">
        <f>ScenesTable[[#This Row],[end]]-ScenesTable[[#This Row],[start]]</f>
        <v>2.0833333333333337E-4</v>
      </c>
      <c r="F20" s="10"/>
      <c r="G20" s="10" t="s">
        <v>27</v>
      </c>
      <c r="H20" t="s">
        <v>35</v>
      </c>
      <c r="J20" t="s">
        <v>30</v>
      </c>
      <c r="K20"/>
      <c r="O20" t="s">
        <v>34</v>
      </c>
      <c r="P20" t="s">
        <v>141</v>
      </c>
      <c r="Q20" s="6">
        <f>LEN(ScenesTable[[#This Row],[bottom_row_text]])</f>
        <v>40</v>
      </c>
    </row>
    <row r="21" spans="1:17" x14ac:dyDescent="0.25">
      <c r="A21" t="b">
        <v>1</v>
      </c>
      <c r="B21" t="s">
        <v>155</v>
      </c>
      <c r="C21" s="9">
        <v>3.7037037037037038E-3</v>
      </c>
      <c r="D21" s="10">
        <f t="shared" si="0"/>
        <v>4.1087962962962962E-3</v>
      </c>
      <c r="E21" s="10">
        <f>ScenesTable[[#This Row],[end]]-ScenesTable[[#This Row],[start]]</f>
        <v>4.0509259259259231E-4</v>
      </c>
      <c r="F21" s="10"/>
      <c r="G21" s="10" t="s">
        <v>27</v>
      </c>
      <c r="H21" t="s">
        <v>35</v>
      </c>
      <c r="J21" t="s">
        <v>30</v>
      </c>
      <c r="K21"/>
      <c r="O21" t="s">
        <v>34</v>
      </c>
      <c r="P21" t="s">
        <v>202</v>
      </c>
      <c r="Q21" s="6">
        <f>LEN(ScenesTable[[#This Row],[bottom_row_text]])</f>
        <v>44</v>
      </c>
    </row>
    <row r="22" spans="1:17" x14ac:dyDescent="0.25">
      <c r="A22" t="b">
        <v>1</v>
      </c>
      <c r="B22" t="s">
        <v>156</v>
      </c>
      <c r="C22" s="9">
        <v>4.1087962962962962E-3</v>
      </c>
      <c r="D22" s="10">
        <f t="shared" si="0"/>
        <v>4.3981481481481484E-3</v>
      </c>
      <c r="E22" s="10">
        <f>ScenesTable[[#This Row],[end]]-ScenesTable[[#This Row],[start]]</f>
        <v>2.8935185185185227E-4</v>
      </c>
      <c r="F22" s="10"/>
      <c r="G22" s="10" t="s">
        <v>33</v>
      </c>
      <c r="H22" t="s">
        <v>28</v>
      </c>
      <c r="I22" t="s">
        <v>29</v>
      </c>
      <c r="J22" t="s">
        <v>30</v>
      </c>
      <c r="K22"/>
      <c r="O22" t="s">
        <v>34</v>
      </c>
      <c r="P22" t="s">
        <v>202</v>
      </c>
      <c r="Q22" s="6">
        <f>LEN(ScenesTable[[#This Row],[bottom_row_text]])</f>
        <v>44</v>
      </c>
    </row>
    <row r="23" spans="1:17" x14ac:dyDescent="0.25">
      <c r="A23" t="b">
        <v>1</v>
      </c>
      <c r="B23" t="s">
        <v>157</v>
      </c>
      <c r="C23" s="13">
        <v>4.3981481481481484E-3</v>
      </c>
      <c r="D23" s="10">
        <f t="shared" si="0"/>
        <v>4.7222222222222223E-3</v>
      </c>
      <c r="E23" s="10">
        <f>ScenesTable[[#This Row],[end]]-ScenesTable[[#This Row],[start]]</f>
        <v>3.2407407407407385E-4</v>
      </c>
      <c r="F23" s="10"/>
      <c r="G23" s="10" t="s">
        <v>33</v>
      </c>
      <c r="H23" t="s">
        <v>28</v>
      </c>
      <c r="I23" t="s">
        <v>29</v>
      </c>
      <c r="J23" t="s">
        <v>30</v>
      </c>
      <c r="O23" t="s">
        <v>34</v>
      </c>
      <c r="P23" t="s">
        <v>142</v>
      </c>
      <c r="Q23" s="6">
        <f>LEN(ScenesTable[[#This Row],[bottom_row_text]])</f>
        <v>58</v>
      </c>
    </row>
    <row r="24" spans="1:17" x14ac:dyDescent="0.25">
      <c r="A24" t="b">
        <v>1</v>
      </c>
      <c r="B24" t="s">
        <v>158</v>
      </c>
      <c r="C24" s="13">
        <v>4.7222222222222223E-3</v>
      </c>
      <c r="D24" s="10">
        <f t="shared" si="0"/>
        <v>4.8842592592592592E-3</v>
      </c>
      <c r="E24" s="10">
        <f>ScenesTable[[#This Row],[end]]-ScenesTable[[#This Row],[start]]</f>
        <v>1.6203703703703692E-4</v>
      </c>
      <c r="F24" s="10"/>
      <c r="G24" s="10" t="s">
        <v>27</v>
      </c>
      <c r="H24" t="s">
        <v>35</v>
      </c>
      <c r="J24" t="s">
        <v>30</v>
      </c>
      <c r="K24"/>
      <c r="O24" t="s">
        <v>34</v>
      </c>
      <c r="P24" t="s">
        <v>142</v>
      </c>
      <c r="Q24" s="6">
        <f>LEN(ScenesTable[[#This Row],[bottom_row_text]])</f>
        <v>58</v>
      </c>
    </row>
    <row r="25" spans="1:17" x14ac:dyDescent="0.25">
      <c r="A25" t="b">
        <v>1</v>
      </c>
      <c r="B25" t="s">
        <v>159</v>
      </c>
      <c r="C25" s="13">
        <v>4.8842592592592592E-3</v>
      </c>
      <c r="D25" s="10">
        <f t="shared" si="0"/>
        <v>5.0578703703703706E-3</v>
      </c>
      <c r="E25" s="10">
        <f>ScenesTable[[#This Row],[end]]-ScenesTable[[#This Row],[start]]</f>
        <v>1.7361111111111136E-4</v>
      </c>
      <c r="F25" s="10"/>
      <c r="G25" s="10" t="s">
        <v>33</v>
      </c>
      <c r="H25" t="s">
        <v>28</v>
      </c>
      <c r="I25" t="s">
        <v>29</v>
      </c>
      <c r="J25" t="s">
        <v>30</v>
      </c>
      <c r="K25"/>
      <c r="O25" t="s">
        <v>34</v>
      </c>
      <c r="P25" t="s">
        <v>142</v>
      </c>
      <c r="Q25" s="6">
        <f>LEN(ScenesTable[[#This Row],[bottom_row_text]])</f>
        <v>58</v>
      </c>
    </row>
    <row r="26" spans="1:17" x14ac:dyDescent="0.25">
      <c r="A26" t="b">
        <v>1</v>
      </c>
      <c r="B26" t="s">
        <v>160</v>
      </c>
      <c r="C26" s="13">
        <v>5.0578703703703706E-3</v>
      </c>
      <c r="D26" s="10">
        <f t="shared" si="0"/>
        <v>5.2314814814814811E-3</v>
      </c>
      <c r="E26" s="10">
        <f>ScenesTable[[#This Row],[end]]-ScenesTable[[#This Row],[start]]</f>
        <v>1.7361111111111049E-4</v>
      </c>
      <c r="F26" s="10"/>
      <c r="G26" s="10" t="s">
        <v>137</v>
      </c>
      <c r="H26" t="s">
        <v>28</v>
      </c>
      <c r="I26" t="s">
        <v>200</v>
      </c>
      <c r="J26" t="s">
        <v>30</v>
      </c>
      <c r="K26"/>
      <c r="L26" s="6" t="s">
        <v>176</v>
      </c>
      <c r="O26" t="s">
        <v>34</v>
      </c>
      <c r="P26" t="s">
        <v>203</v>
      </c>
      <c r="Q26" s="6">
        <f>LEN(ScenesTable[[#This Row],[bottom_row_text]])</f>
        <v>56</v>
      </c>
    </row>
    <row r="27" spans="1:17" x14ac:dyDescent="0.25">
      <c r="A27" t="b">
        <v>1</v>
      </c>
      <c r="B27" t="s">
        <v>161</v>
      </c>
      <c r="C27" s="13">
        <v>5.2314814814814811E-3</v>
      </c>
      <c r="D27" s="10">
        <f t="shared" si="0"/>
        <v>5.324074074074074E-3</v>
      </c>
      <c r="E27" s="10">
        <f>ScenesTable[[#This Row],[end]]-ScenesTable[[#This Row],[start]]</f>
        <v>9.25925925925929E-5</v>
      </c>
      <c r="F27" s="10"/>
      <c r="G27" s="10" t="s">
        <v>137</v>
      </c>
      <c r="H27" t="s">
        <v>28</v>
      </c>
      <c r="I27" t="s">
        <v>29</v>
      </c>
      <c r="J27" t="s">
        <v>30</v>
      </c>
      <c r="K27"/>
      <c r="L27" s="6" t="s">
        <v>177</v>
      </c>
      <c r="O27" t="s">
        <v>34</v>
      </c>
      <c r="P27" t="s">
        <v>203</v>
      </c>
      <c r="Q27" s="6">
        <f>LEN(ScenesTable[[#This Row],[bottom_row_text]])</f>
        <v>56</v>
      </c>
    </row>
    <row r="28" spans="1:17" x14ac:dyDescent="0.25">
      <c r="A28" t="b">
        <v>1</v>
      </c>
      <c r="B28" t="s">
        <v>173</v>
      </c>
      <c r="C28" s="13">
        <v>5.324074074074074E-3</v>
      </c>
      <c r="D28" s="10">
        <f t="shared" si="0"/>
        <v>5.3587962962962964E-3</v>
      </c>
      <c r="E28" s="10">
        <f>ScenesTable[[#This Row],[end]]-ScenesTable[[#This Row],[start]]</f>
        <v>3.4722222222222446E-5</v>
      </c>
      <c r="F28" s="10"/>
      <c r="G28" s="10" t="s">
        <v>137</v>
      </c>
      <c r="H28" t="s">
        <v>28</v>
      </c>
      <c r="I28" t="s">
        <v>29</v>
      </c>
      <c r="J28" t="s">
        <v>30</v>
      </c>
      <c r="K28"/>
      <c r="L28" s="6" t="s">
        <v>178</v>
      </c>
      <c r="O28" t="s">
        <v>34</v>
      </c>
      <c r="P28" t="s">
        <v>203</v>
      </c>
      <c r="Q28" s="6">
        <f>LEN(ScenesTable[[#This Row],[bottom_row_text]])</f>
        <v>56</v>
      </c>
    </row>
    <row r="29" spans="1:17" x14ac:dyDescent="0.25">
      <c r="A29" t="b">
        <v>1</v>
      </c>
      <c r="B29" t="s">
        <v>174</v>
      </c>
      <c r="C29" s="13">
        <v>5.3587962962962964E-3</v>
      </c>
      <c r="D29" s="10">
        <f t="shared" si="0"/>
        <v>5.3935185185185188E-3</v>
      </c>
      <c r="E29" s="10">
        <f>ScenesTable[[#This Row],[end]]-ScenesTable[[#This Row],[start]]</f>
        <v>3.4722222222222446E-5</v>
      </c>
      <c r="F29" s="10"/>
      <c r="G29" s="10" t="s">
        <v>137</v>
      </c>
      <c r="H29" t="s">
        <v>28</v>
      </c>
      <c r="I29" t="s">
        <v>29</v>
      </c>
      <c r="J29" t="s">
        <v>30</v>
      </c>
      <c r="K29"/>
      <c r="L29" s="6" t="s">
        <v>179</v>
      </c>
      <c r="O29" t="s">
        <v>34</v>
      </c>
      <c r="P29" t="s">
        <v>203</v>
      </c>
      <c r="Q29" s="6">
        <f>LEN(ScenesTable[[#This Row],[bottom_row_text]])</f>
        <v>56</v>
      </c>
    </row>
    <row r="30" spans="1:17" x14ac:dyDescent="0.25">
      <c r="A30" t="b">
        <v>1</v>
      </c>
      <c r="B30" t="s">
        <v>175</v>
      </c>
      <c r="C30" s="13">
        <v>5.3935185185185188E-3</v>
      </c>
      <c r="D30" s="10">
        <f t="shared" si="0"/>
        <v>5.4282407407407404E-3</v>
      </c>
      <c r="E30" s="10">
        <f>ScenesTable[[#This Row],[end]]-ScenesTable[[#This Row],[start]]</f>
        <v>3.4722222222221578E-5</v>
      </c>
      <c r="F30" s="10"/>
      <c r="G30" s="10" t="s">
        <v>137</v>
      </c>
      <c r="H30" t="s">
        <v>28</v>
      </c>
      <c r="I30" t="s">
        <v>29</v>
      </c>
      <c r="J30" t="s">
        <v>30</v>
      </c>
      <c r="K30"/>
      <c r="L30" s="6" t="s">
        <v>192</v>
      </c>
      <c r="M30" s="6" t="s">
        <v>193</v>
      </c>
      <c r="O30" t="s">
        <v>34</v>
      </c>
      <c r="P30" t="s">
        <v>203</v>
      </c>
      <c r="Q30" s="6">
        <f>LEN(ScenesTable[[#This Row],[bottom_row_text]])</f>
        <v>56</v>
      </c>
    </row>
    <row r="31" spans="1:17" x14ac:dyDescent="0.25">
      <c r="A31" t="b">
        <v>1</v>
      </c>
      <c r="B31" t="s">
        <v>188</v>
      </c>
      <c r="C31" s="13">
        <v>5.4282407407407404E-3</v>
      </c>
      <c r="D31" s="10">
        <f t="shared" si="0"/>
        <v>5.5439814814814813E-3</v>
      </c>
      <c r="E31" s="10">
        <f>ScenesTable[[#This Row],[end]]-ScenesTable[[#This Row],[start]]</f>
        <v>1.1574074074074091E-4</v>
      </c>
      <c r="F31" s="10"/>
      <c r="G31" s="10" t="s">
        <v>137</v>
      </c>
      <c r="H31" t="s">
        <v>28</v>
      </c>
      <c r="I31" t="s">
        <v>29</v>
      </c>
      <c r="J31" t="s">
        <v>30</v>
      </c>
      <c r="K31"/>
      <c r="L31" s="6" t="s">
        <v>195</v>
      </c>
      <c r="M31" s="6" t="s">
        <v>198</v>
      </c>
      <c r="O31" t="s">
        <v>34</v>
      </c>
      <c r="P31" t="s">
        <v>203</v>
      </c>
      <c r="Q31" s="6">
        <f>LEN(ScenesTable[[#This Row],[bottom_row_text]])</f>
        <v>56</v>
      </c>
    </row>
    <row r="32" spans="1:17" x14ac:dyDescent="0.25">
      <c r="A32" t="b">
        <v>1</v>
      </c>
      <c r="B32" t="s">
        <v>189</v>
      </c>
      <c r="C32" s="13">
        <v>5.5439814814814813E-3</v>
      </c>
      <c r="D32" s="10">
        <f t="shared" si="0"/>
        <v>6.5740740740740742E-3</v>
      </c>
      <c r="E32" s="10">
        <f>ScenesTable[[#This Row],[end]]-ScenesTable[[#This Row],[start]]</f>
        <v>1.0300925925925929E-3</v>
      </c>
      <c r="F32" s="10"/>
      <c r="G32" s="10" t="s">
        <v>33</v>
      </c>
      <c r="H32" t="s">
        <v>28</v>
      </c>
      <c r="I32" t="s">
        <v>29</v>
      </c>
      <c r="J32" t="s">
        <v>30</v>
      </c>
      <c r="K32"/>
      <c r="L32" s="6" t="s">
        <v>177</v>
      </c>
      <c r="O32" t="s">
        <v>34</v>
      </c>
      <c r="P32" t="s">
        <v>203</v>
      </c>
      <c r="Q32" s="6">
        <f>LEN(ScenesTable[[#This Row],[bottom_row_text]])</f>
        <v>56</v>
      </c>
    </row>
    <row r="33" spans="1:18" x14ac:dyDescent="0.25">
      <c r="A33" t="b">
        <v>1</v>
      </c>
      <c r="B33" t="s">
        <v>190</v>
      </c>
      <c r="C33" s="13">
        <v>6.5740740740740742E-3</v>
      </c>
      <c r="D33" s="10">
        <f t="shared" si="0"/>
        <v>6.8055555555555551E-3</v>
      </c>
      <c r="E33" s="10">
        <f>ScenesTable[[#This Row],[end]]-ScenesTable[[#This Row],[start]]</f>
        <v>2.3148148148148095E-4</v>
      </c>
      <c r="F33" s="10"/>
      <c r="G33" s="10" t="s">
        <v>27</v>
      </c>
      <c r="H33" t="s">
        <v>35</v>
      </c>
      <c r="J33" t="s">
        <v>30</v>
      </c>
      <c r="K33"/>
      <c r="L33" s="6" t="s">
        <v>177</v>
      </c>
      <c r="M33"/>
      <c r="N33"/>
      <c r="O33" t="s">
        <v>34</v>
      </c>
      <c r="P33" t="s">
        <v>203</v>
      </c>
      <c r="Q33" s="6">
        <f>LEN(ScenesTable[[#This Row],[bottom_row_text]])</f>
        <v>56</v>
      </c>
    </row>
    <row r="34" spans="1:18" x14ac:dyDescent="0.25">
      <c r="A34" t="b">
        <v>1</v>
      </c>
      <c r="B34" t="s">
        <v>191</v>
      </c>
      <c r="C34" s="13">
        <v>6.8055555555555551E-3</v>
      </c>
      <c r="D34" s="10">
        <f t="shared" si="0"/>
        <v>6.9560185185185185E-3</v>
      </c>
      <c r="E34" s="10">
        <f>ScenesTable[[#This Row],[end]]-ScenesTable[[#This Row],[start]]</f>
        <v>1.5046296296296335E-4</v>
      </c>
      <c r="F34" s="10"/>
      <c r="G34" s="10" t="s">
        <v>33</v>
      </c>
      <c r="H34" t="s">
        <v>28</v>
      </c>
      <c r="I34" t="s">
        <v>29</v>
      </c>
      <c r="J34" t="s">
        <v>30</v>
      </c>
      <c r="K34"/>
      <c r="L34" s="6" t="s">
        <v>179</v>
      </c>
      <c r="M34"/>
      <c r="N34"/>
      <c r="O34" t="s">
        <v>34</v>
      </c>
      <c r="P34" t="s">
        <v>135</v>
      </c>
      <c r="Q34" s="6">
        <f>LEN(ScenesTable[[#This Row],[bottom_row_text]])</f>
        <v>35</v>
      </c>
    </row>
    <row r="35" spans="1:18" x14ac:dyDescent="0.25">
      <c r="A35" t="b">
        <v>1</v>
      </c>
      <c r="B35" t="s">
        <v>39</v>
      </c>
      <c r="C35" s="13">
        <v>6.9560185185185185E-3</v>
      </c>
      <c r="D35" s="9">
        <v>7.013888888888889E-3</v>
      </c>
      <c r="E35" s="10">
        <f>ScenesTable[[#This Row],[end]]-ScenesTable[[#This Row],[start]]</f>
        <v>5.7870370370370454E-5</v>
      </c>
      <c r="F35" s="10"/>
      <c r="G35" s="10" t="s">
        <v>40</v>
      </c>
      <c r="H35"/>
      <c r="I35" t="s">
        <v>24</v>
      </c>
      <c r="J35"/>
      <c r="K35"/>
      <c r="L35" s="6" t="s">
        <v>180</v>
      </c>
      <c r="Q35" s="6">
        <f>LEN(ScenesTable[[#This Row],[bottom_row_text]])</f>
        <v>0</v>
      </c>
      <c r="R35" t="s">
        <v>41</v>
      </c>
    </row>
    <row r="39" spans="1:18" x14ac:dyDescent="0.25">
      <c r="E39" s="9"/>
    </row>
  </sheetData>
  <conditionalFormatting sqref="G2:G35">
    <cfRule type="cellIs" dxfId="1" priority="1" operator="equal">
      <formula>"3cam_broll"</formula>
    </cfRule>
    <cfRule type="cellIs" dxfId="0" priority="2" operator="equal">
      <formula>"2cam_broll"</formula>
    </cfRule>
  </conditionalFormatting>
  <dataValidations disablePrompts="1" count="1">
    <dataValidation type="list" allowBlank="1" sqref="G2:G228 F2:F35" xr:uid="{00000000-0002-0000-0000-000000000000}">
      <formula1>"intro,show_image,1cam,2cam,2cam_broll,3cam,3cam_broll,outro"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1" topLeftCell="A3" activePane="bottomLeft" state="frozen"/>
      <selection pane="bottomLeft" activeCell="D12" sqref="D12"/>
    </sheetView>
  </sheetViews>
  <sheetFormatPr defaultRowHeight="15" x14ac:dyDescent="0.25"/>
  <cols>
    <col min="1" max="1" width="31.28515625" customWidth="1"/>
    <col min="2" max="2" width="63.7109375" customWidth="1"/>
    <col min="3" max="3" width="87.5703125" customWidth="1"/>
    <col min="4" max="4" width="34.140625" customWidth="1"/>
    <col min="5" max="5" width="28" customWidth="1"/>
  </cols>
  <sheetData>
    <row r="1" spans="1:5" x14ac:dyDescent="0.25">
      <c r="A1" s="1" t="s">
        <v>11</v>
      </c>
      <c r="B1" s="1" t="s">
        <v>42</v>
      </c>
      <c r="C1" s="1" t="s">
        <v>43</v>
      </c>
      <c r="D1" s="1" t="s">
        <v>44</v>
      </c>
      <c r="E1" s="1" t="s">
        <v>16</v>
      </c>
    </row>
    <row r="2" spans="1:5" x14ac:dyDescent="0.25">
      <c r="A2" t="s">
        <v>171</v>
      </c>
      <c r="B2" t="s">
        <v>170</v>
      </c>
      <c r="C2" t="s">
        <v>162</v>
      </c>
      <c r="D2" s="10">
        <v>7.8703703703703705E-4</v>
      </c>
    </row>
    <row r="3" spans="1:5" x14ac:dyDescent="0.25">
      <c r="A3" t="s">
        <v>172</v>
      </c>
      <c r="B3" t="s">
        <v>169</v>
      </c>
      <c r="C3" t="s">
        <v>162</v>
      </c>
      <c r="D3" s="10">
        <v>5.7870370370370373E-5</v>
      </c>
    </row>
    <row r="4" spans="1:5" x14ac:dyDescent="0.25">
      <c r="A4" t="s">
        <v>164</v>
      </c>
      <c r="B4" t="s">
        <v>165</v>
      </c>
      <c r="C4" t="s">
        <v>166</v>
      </c>
      <c r="D4" s="2"/>
    </row>
    <row r="5" spans="1:5" x14ac:dyDescent="0.25">
      <c r="A5" t="s">
        <v>176</v>
      </c>
      <c r="B5" t="s">
        <v>182</v>
      </c>
      <c r="C5" t="s">
        <v>187</v>
      </c>
      <c r="D5" s="2"/>
      <c r="E5" s="2"/>
    </row>
    <row r="6" spans="1:5" x14ac:dyDescent="0.25">
      <c r="A6" t="s">
        <v>177</v>
      </c>
      <c r="B6" t="s">
        <v>183</v>
      </c>
      <c r="C6" t="s">
        <v>187</v>
      </c>
      <c r="D6" s="2"/>
      <c r="E6" s="2"/>
    </row>
    <row r="7" spans="1:5" x14ac:dyDescent="0.25">
      <c r="A7" t="s">
        <v>178</v>
      </c>
      <c r="B7" t="s">
        <v>184</v>
      </c>
      <c r="C7" t="s">
        <v>187</v>
      </c>
      <c r="D7" s="2"/>
      <c r="E7" s="2"/>
    </row>
    <row r="8" spans="1:5" x14ac:dyDescent="0.25">
      <c r="A8" t="s">
        <v>179</v>
      </c>
      <c r="B8" t="s">
        <v>185</v>
      </c>
      <c r="C8" t="s">
        <v>187</v>
      </c>
      <c r="D8" s="2"/>
      <c r="E8" s="2"/>
    </row>
    <row r="9" spans="1:5" x14ac:dyDescent="0.25">
      <c r="A9" t="s">
        <v>181</v>
      </c>
      <c r="B9" t="s">
        <v>186</v>
      </c>
      <c r="C9" t="s">
        <v>187</v>
      </c>
      <c r="D9" s="2"/>
    </row>
    <row r="10" spans="1:5" x14ac:dyDescent="0.25">
      <c r="A10" t="s">
        <v>192</v>
      </c>
      <c r="B10" t="s">
        <v>193</v>
      </c>
      <c r="C10" t="s">
        <v>194</v>
      </c>
      <c r="D10" s="2"/>
    </row>
    <row r="11" spans="1:5" x14ac:dyDescent="0.25">
      <c r="A11" t="s">
        <v>195</v>
      </c>
      <c r="B11" t="s">
        <v>196</v>
      </c>
      <c r="C11" t="s">
        <v>197</v>
      </c>
      <c r="D11" s="10">
        <v>1.1574074074074075E-4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0" customWidth="1"/>
    <col min="2" max="2" width="14" customWidth="1"/>
    <col min="3" max="5" width="16" customWidth="1"/>
    <col min="6" max="6" width="65.7109375" bestFit="1" customWidth="1"/>
    <col min="7" max="7" width="44.140625" customWidth="1"/>
    <col min="8" max="8" width="20" customWidth="1"/>
    <col min="9" max="10" width="18" customWidth="1"/>
    <col min="11" max="11" width="28" customWidth="1"/>
  </cols>
  <sheetData>
    <row r="1" spans="1:11" x14ac:dyDescent="0.25">
      <c r="A1" s="1" t="s">
        <v>0</v>
      </c>
      <c r="B1" s="1" t="s">
        <v>132</v>
      </c>
      <c r="C1" s="1" t="s">
        <v>75</v>
      </c>
      <c r="D1" s="1" t="s">
        <v>2</v>
      </c>
      <c r="E1" s="1" t="s">
        <v>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16</v>
      </c>
    </row>
    <row r="2" spans="1:11" x14ac:dyDescent="0.25">
      <c r="A2" t="b">
        <v>1</v>
      </c>
      <c r="C2" t="s">
        <v>81</v>
      </c>
      <c r="D2" s="9">
        <v>1.3310185185185185E-3</v>
      </c>
      <c r="E2" s="10">
        <v>1.5393518518518519E-3</v>
      </c>
      <c r="F2" t="s">
        <v>163</v>
      </c>
    </row>
    <row r="3" spans="1:11" x14ac:dyDescent="0.25">
      <c r="A3" t="b">
        <v>1</v>
      </c>
      <c r="C3" t="s">
        <v>81</v>
      </c>
      <c r="D3" s="9">
        <v>1.6666666666666668E-3</v>
      </c>
      <c r="E3" s="10">
        <v>1.8634259259259259E-3</v>
      </c>
      <c r="F3" t="s">
        <v>163</v>
      </c>
    </row>
    <row r="4" spans="1:11" x14ac:dyDescent="0.25">
      <c r="A4" t="b">
        <v>1</v>
      </c>
      <c r="C4" t="s">
        <v>81</v>
      </c>
      <c r="D4" s="9">
        <v>5.4282407407407404E-3</v>
      </c>
      <c r="E4" s="9">
        <v>5.5439814814814813E-3</v>
      </c>
      <c r="F4" t="s">
        <v>199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topLeftCell="C1"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10" customWidth="1"/>
    <col min="2" max="2" width="28.42578125" customWidth="1"/>
    <col min="3" max="3" width="27.7109375" customWidth="1"/>
    <col min="4" max="4" width="51.140625" customWidth="1"/>
    <col min="5" max="7" width="16" customWidth="1"/>
    <col min="8" max="8" width="18.28515625" customWidth="1"/>
    <col min="9" max="9" width="14" style="6" customWidth="1"/>
    <col min="10" max="10" width="14" customWidth="1"/>
    <col min="11" max="11" width="18" customWidth="1"/>
    <col min="12" max="12" width="20.28515625" customWidth="1"/>
    <col min="13" max="13" width="40.5703125" bestFit="1" customWidth="1"/>
  </cols>
  <sheetData>
    <row r="1" spans="1:13" x14ac:dyDescent="0.25">
      <c r="A1" s="5" t="s">
        <v>0</v>
      </c>
      <c r="B1" s="5" t="s">
        <v>46</v>
      </c>
      <c r="C1" t="s">
        <v>47</v>
      </c>
      <c r="D1" s="5" t="s">
        <v>48</v>
      </c>
      <c r="E1" s="5" t="s">
        <v>2</v>
      </c>
      <c r="F1" s="5" t="s">
        <v>3</v>
      </c>
      <c r="G1" s="5" t="s">
        <v>4</v>
      </c>
      <c r="H1" s="5" t="s">
        <v>5</v>
      </c>
      <c r="I1" s="8" t="s">
        <v>49</v>
      </c>
      <c r="J1" s="5" t="s">
        <v>50</v>
      </c>
      <c r="K1" s="5" t="s">
        <v>51</v>
      </c>
      <c r="L1" s="5" t="s">
        <v>52</v>
      </c>
      <c r="M1" s="5" t="s">
        <v>16</v>
      </c>
    </row>
    <row r="2" spans="1:13" x14ac:dyDescent="0.25">
      <c r="A2" t="b">
        <v>1</v>
      </c>
      <c r="B2" t="s">
        <v>53</v>
      </c>
      <c r="C2" t="s">
        <v>54</v>
      </c>
      <c r="D2" t="s">
        <v>55</v>
      </c>
      <c r="E2" s="2" t="s">
        <v>18</v>
      </c>
      <c r="F2" s="2"/>
      <c r="G2" s="2" t="s">
        <v>69</v>
      </c>
      <c r="H2" s="2" t="s">
        <v>18</v>
      </c>
      <c r="I2" s="6">
        <v>0.2</v>
      </c>
      <c r="J2" s="2" t="s">
        <v>18</v>
      </c>
      <c r="K2" s="2" t="s">
        <v>45</v>
      </c>
      <c r="L2" s="7" t="b">
        <v>1</v>
      </c>
      <c r="M2" t="s">
        <v>56</v>
      </c>
    </row>
    <row r="3" spans="1:13" x14ac:dyDescent="0.25">
      <c r="A3" t="b">
        <v>1</v>
      </c>
      <c r="B3" t="s">
        <v>57</v>
      </c>
      <c r="C3" t="s">
        <v>58</v>
      </c>
      <c r="D3" t="s">
        <v>55</v>
      </c>
      <c r="E3" s="2" t="s">
        <v>59</v>
      </c>
      <c r="F3" s="2"/>
      <c r="G3" s="2" t="s">
        <v>60</v>
      </c>
      <c r="H3" s="2" t="s">
        <v>61</v>
      </c>
      <c r="I3" s="6">
        <v>0.72</v>
      </c>
      <c r="J3" s="2" t="s">
        <v>60</v>
      </c>
      <c r="K3" s="2" t="s">
        <v>18</v>
      </c>
      <c r="L3" t="b">
        <v>1</v>
      </c>
      <c r="M3" t="s">
        <v>62</v>
      </c>
    </row>
    <row r="4" spans="1:13" x14ac:dyDescent="0.25">
      <c r="A4" t="b">
        <v>0</v>
      </c>
      <c r="B4" t="s">
        <v>63</v>
      </c>
      <c r="C4" t="s">
        <v>64</v>
      </c>
      <c r="D4" t="s">
        <v>55</v>
      </c>
      <c r="E4" s="2" t="s">
        <v>65</v>
      </c>
      <c r="G4" s="2" t="s">
        <v>66</v>
      </c>
      <c r="I4" s="6">
        <v>0.72</v>
      </c>
      <c r="M4" t="s">
        <v>67</v>
      </c>
    </row>
    <row r="5" spans="1:13" x14ac:dyDescent="0.25">
      <c r="A5" t="b">
        <v>0</v>
      </c>
      <c r="B5" t="s">
        <v>68</v>
      </c>
      <c r="C5" t="s">
        <v>68</v>
      </c>
      <c r="D5" t="s">
        <v>55</v>
      </c>
      <c r="E5" s="2" t="s">
        <v>69</v>
      </c>
      <c r="G5" s="2" t="s">
        <v>45</v>
      </c>
      <c r="I5" s="6">
        <v>0.2</v>
      </c>
      <c r="K5" s="2"/>
      <c r="M5" t="s">
        <v>70</v>
      </c>
    </row>
    <row r="6" spans="1:13" x14ac:dyDescent="0.25">
      <c r="A6" t="b">
        <v>0</v>
      </c>
      <c r="B6" t="s">
        <v>71</v>
      </c>
      <c r="C6" t="s">
        <v>71</v>
      </c>
      <c r="D6" t="s">
        <v>55</v>
      </c>
      <c r="M6" t="s">
        <v>72</v>
      </c>
    </row>
    <row r="7" spans="1:13" x14ac:dyDescent="0.25">
      <c r="A7" t="b">
        <v>0</v>
      </c>
      <c r="B7" t="s">
        <v>73</v>
      </c>
      <c r="C7" t="s">
        <v>73</v>
      </c>
      <c r="D7" t="s">
        <v>55</v>
      </c>
      <c r="M7" t="s">
        <v>74</v>
      </c>
    </row>
  </sheetData>
  <autoFilter ref="A1:L3" xr:uid="{00000000-0009-0000-0000-000002000000}"/>
  <dataValidations count="1">
    <dataValidation type="list" allowBlank="1" sqref="A2:A191 K3:K191" xr:uid="{00000000-0002-0000-0200-000000000000}">
      <formula1>"TRUE,FALSE"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>
      <pane ySplit="1" topLeftCell="A2" activePane="bottomLeft" state="frozen"/>
      <selection pane="bottomLeft" activeCell="C37" sqref="C37"/>
    </sheetView>
  </sheetViews>
  <sheetFormatPr defaultRowHeight="15" x14ac:dyDescent="0.25"/>
  <cols>
    <col min="1" max="1" width="26" customWidth="1"/>
    <col min="2" max="2" width="32" customWidth="1"/>
    <col min="3" max="3" width="42" customWidth="1"/>
  </cols>
  <sheetData>
    <row r="1" spans="1:3" x14ac:dyDescent="0.25">
      <c r="A1" s="1" t="s">
        <v>82</v>
      </c>
      <c r="B1" s="1" t="s">
        <v>42</v>
      </c>
      <c r="C1" s="1" t="s">
        <v>83</v>
      </c>
    </row>
    <row r="2" spans="1:3" x14ac:dyDescent="0.25">
      <c r="A2" t="s">
        <v>23</v>
      </c>
      <c r="B2" t="s">
        <v>24</v>
      </c>
      <c r="C2" t="s">
        <v>84</v>
      </c>
    </row>
    <row r="3" spans="1:3" x14ac:dyDescent="0.25">
      <c r="A3" t="s">
        <v>85</v>
      </c>
      <c r="B3" t="s">
        <v>86</v>
      </c>
      <c r="C3" t="s">
        <v>87</v>
      </c>
    </row>
    <row r="4" spans="1:3" x14ac:dyDescent="0.25">
      <c r="A4" t="s">
        <v>88</v>
      </c>
      <c r="B4" t="s">
        <v>89</v>
      </c>
      <c r="C4" t="s">
        <v>90</v>
      </c>
    </row>
    <row r="5" spans="1:3" x14ac:dyDescent="0.25">
      <c r="A5" t="s">
        <v>19</v>
      </c>
      <c r="B5" t="s">
        <v>20</v>
      </c>
      <c r="C5" t="s">
        <v>91</v>
      </c>
    </row>
    <row r="6" spans="1:3" x14ac:dyDescent="0.25">
      <c r="A6" t="s">
        <v>92</v>
      </c>
      <c r="B6" t="s">
        <v>55</v>
      </c>
      <c r="C6" t="s">
        <v>93</v>
      </c>
    </row>
    <row r="7" spans="1:3" x14ac:dyDescent="0.25">
      <c r="A7" t="s">
        <v>28</v>
      </c>
      <c r="B7" t="s">
        <v>29</v>
      </c>
      <c r="C7" t="s">
        <v>94</v>
      </c>
    </row>
    <row r="8" spans="1:3" x14ac:dyDescent="0.25">
      <c r="A8" t="s">
        <v>35</v>
      </c>
      <c r="B8" t="s">
        <v>30</v>
      </c>
      <c r="C8" t="s">
        <v>95</v>
      </c>
    </row>
    <row r="9" spans="1:3" x14ac:dyDescent="0.25">
      <c r="A9" t="s">
        <v>38</v>
      </c>
      <c r="B9" t="s">
        <v>37</v>
      </c>
      <c r="C9" t="s">
        <v>95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workbookViewId="0">
      <pane ySplit="1" topLeftCell="A2" activePane="bottomLeft" state="frozen"/>
      <selection pane="bottomLeft" activeCell="B27" sqref="B27"/>
    </sheetView>
  </sheetViews>
  <sheetFormatPr defaultRowHeight="15" x14ac:dyDescent="0.25"/>
  <cols>
    <col min="1" max="1" width="42.7109375" customWidth="1"/>
    <col min="2" max="2" width="32" style="6" customWidth="1"/>
    <col min="3" max="3" width="73.85546875" bestFit="1" customWidth="1"/>
  </cols>
  <sheetData>
    <row r="1" spans="1:3" x14ac:dyDescent="0.25">
      <c r="A1" s="1" t="s">
        <v>96</v>
      </c>
      <c r="B1" s="1" t="s">
        <v>97</v>
      </c>
      <c r="C1" s="1" t="s">
        <v>16</v>
      </c>
    </row>
    <row r="2" spans="1:3" x14ac:dyDescent="0.25">
      <c r="A2" t="s">
        <v>98</v>
      </c>
      <c r="B2" s="6" t="s">
        <v>99</v>
      </c>
    </row>
    <row r="3" spans="1:3" x14ac:dyDescent="0.25">
      <c r="A3" t="s">
        <v>100</v>
      </c>
      <c r="B3" s="6">
        <v>1920</v>
      </c>
    </row>
    <row r="4" spans="1:3" x14ac:dyDescent="0.25">
      <c r="A4" t="s">
        <v>101</v>
      </c>
      <c r="B4" s="6">
        <v>1080</v>
      </c>
    </row>
    <row r="5" spans="1:3" x14ac:dyDescent="0.25">
      <c r="A5" t="s">
        <v>102</v>
      </c>
      <c r="B5" s="6">
        <v>24</v>
      </c>
    </row>
    <row r="6" spans="1:3" x14ac:dyDescent="0.25">
      <c r="A6" t="s">
        <v>103</v>
      </c>
      <c r="B6" s="6" t="s">
        <v>104</v>
      </c>
      <c r="C6" t="s">
        <v>105</v>
      </c>
    </row>
    <row r="7" spans="1:3" x14ac:dyDescent="0.25">
      <c r="A7" t="s">
        <v>106</v>
      </c>
      <c r="B7" s="6" t="s">
        <v>107</v>
      </c>
      <c r="C7" t="s">
        <v>108</v>
      </c>
    </row>
    <row r="8" spans="1:3" x14ac:dyDescent="0.25">
      <c r="A8" t="s">
        <v>109</v>
      </c>
      <c r="B8" s="6" t="s">
        <v>20</v>
      </c>
      <c r="C8" t="s">
        <v>110</v>
      </c>
    </row>
    <row r="9" spans="1:3" x14ac:dyDescent="0.25">
      <c r="A9" t="s">
        <v>111</v>
      </c>
      <c r="B9" s="6" t="s">
        <v>107</v>
      </c>
      <c r="C9" t="s">
        <v>108</v>
      </c>
    </row>
    <row r="10" spans="1:3" x14ac:dyDescent="0.25">
      <c r="A10" t="s">
        <v>112</v>
      </c>
      <c r="B10" s="6" t="s">
        <v>113</v>
      </c>
      <c r="C10" t="s">
        <v>114</v>
      </c>
    </row>
    <row r="11" spans="1:3" x14ac:dyDescent="0.25">
      <c r="A11" t="s">
        <v>115</v>
      </c>
      <c r="B11" s="6" t="s">
        <v>107</v>
      </c>
      <c r="C11" t="s">
        <v>108</v>
      </c>
    </row>
    <row r="12" spans="1:3" x14ac:dyDescent="0.25">
      <c r="A12" t="s">
        <v>116</v>
      </c>
      <c r="B12" s="6" t="s">
        <v>113</v>
      </c>
      <c r="C12" t="s">
        <v>117</v>
      </c>
    </row>
    <row r="13" spans="1:3" x14ac:dyDescent="0.25">
      <c r="A13" t="s">
        <v>118</v>
      </c>
      <c r="B13" s="6" t="s">
        <v>24</v>
      </c>
      <c r="C13" t="s">
        <v>119</v>
      </c>
    </row>
    <row r="14" spans="1:3" x14ac:dyDescent="0.25">
      <c r="A14" t="s">
        <v>120</v>
      </c>
      <c r="B14" t="s">
        <v>121</v>
      </c>
      <c r="C14" t="s">
        <v>122</v>
      </c>
    </row>
    <row r="15" spans="1:3" x14ac:dyDescent="0.25">
      <c r="A15" t="s">
        <v>123</v>
      </c>
      <c r="B15" t="s">
        <v>124</v>
      </c>
      <c r="C15" t="s">
        <v>125</v>
      </c>
    </row>
    <row r="16" spans="1:3" x14ac:dyDescent="0.25">
      <c r="A16" t="s">
        <v>126</v>
      </c>
      <c r="B16" t="s">
        <v>32</v>
      </c>
      <c r="C16" t="s">
        <v>127</v>
      </c>
    </row>
    <row r="17" spans="2:2" x14ac:dyDescent="0.25">
      <c r="B17"/>
    </row>
    <row r="18" spans="2:2" x14ac:dyDescent="0.25">
      <c r="B18"/>
    </row>
    <row r="19" spans="2:2" x14ac:dyDescent="0.25">
      <c r="B19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showGridLines="0" topLeftCell="A3" workbookViewId="0">
      <selection activeCell="A17" sqref="A17"/>
    </sheetView>
  </sheetViews>
  <sheetFormatPr defaultRowHeight="15" x14ac:dyDescent="0.25"/>
  <cols>
    <col min="1" max="1" width="120" customWidth="1"/>
  </cols>
  <sheetData>
    <row r="1" spans="1:1" ht="21" customHeight="1" x14ac:dyDescent="0.35">
      <c r="A1" s="3" t="s">
        <v>128</v>
      </c>
    </row>
    <row r="3" spans="1:1" x14ac:dyDescent="0.25">
      <c r="A3" s="4" t="s">
        <v>129</v>
      </c>
    </row>
    <row r="4" spans="1:1" x14ac:dyDescent="0.25">
      <c r="A4" s="4" t="s">
        <v>130</v>
      </c>
    </row>
    <row r="5" spans="1:1" x14ac:dyDescent="0.25">
      <c r="A5" s="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Scenes</vt:lpstr>
      <vt:lpstr>Broll</vt:lpstr>
      <vt:lpstr>Graphics</vt:lpstr>
      <vt:lpstr>Audio</vt:lpstr>
      <vt:lpstr>Assets</vt:lpstr>
      <vt:lpstr>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Baker</cp:lastModifiedBy>
  <dcterms:created xsi:type="dcterms:W3CDTF">2026-05-01T00:11:45Z</dcterms:created>
  <dcterms:modified xsi:type="dcterms:W3CDTF">2026-05-28T19:59:09Z</dcterms:modified>
</cp:coreProperties>
</file>